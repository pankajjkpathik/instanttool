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EMI Tracker" sheetId="3" state="visible" r:id="rId3"/>
    <sheet xmlns:r="http://schemas.openxmlformats.org/officeDocument/2006/relationships" name="SIP &amp; Goals" sheetId="4" state="visible" r:id="rId4"/>
    <sheet xmlns:r="http://schemas.openxmlformats.org/officeDocument/2006/relationships" name="Income Tax FY25-26" sheetId="5" state="visible" r:id="rId5"/>
    <sheet xmlns:r="http://schemas.openxmlformats.org/officeDocument/2006/relationships" name="Net Worth" sheetId="6" state="visible" r:id="rId6"/>
    <sheet xmlns:r="http://schemas.openxmlformats.org/officeDocument/2006/relationships" name="Yearl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₹&quot;#,##0"/>
    <numFmt numFmtId="166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1E3A8A"/>
      <sz val="20"/>
    </font>
    <font>
      <name val="Arial"/>
    </font>
    <font>
      <name val="Arial"/>
      <b val="1"/>
    </font>
    <font>
      <name val="Arial"/>
      <b val="1"/>
      <color rgb="00FFFFFF"/>
      <sz val="12"/>
    </font>
    <font>
      <name val="Arial"/>
      <i val="1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FF7CC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3" fillId="3" borderId="1" pivotButton="0" quotePrefix="0" xfId="0"/>
    <xf numFmtId="165" fontId="3" fillId="3" borderId="1" pivotButton="0" quotePrefix="0" xfId="0"/>
    <xf numFmtId="0" fontId="2" fillId="0" borderId="1" pivotButton="0" quotePrefix="0" xfId="0"/>
    <xf numFmtId="165" fontId="2" fillId="4" borderId="1" pivotButton="0" quotePrefix="0" xfId="0"/>
    <xf numFmtId="0" fontId="3" fillId="5" borderId="1" pivotButton="0" quotePrefix="0" xfId="0"/>
    <xf numFmtId="165" fontId="3" fillId="5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4" fontId="3" fillId="5" borderId="1" pivotButton="0" quotePrefix="0" xfId="0"/>
    <xf numFmtId="0" fontId="3" fillId="3" borderId="0" pivotButton="0" quotePrefix="0" xfId="0"/>
    <xf numFmtId="0" fontId="2" fillId="4" borderId="1" pivotButton="0" quotePrefix="0" xfId="0"/>
    <xf numFmtId="166" fontId="2" fillId="0" borderId="1" pivotButton="0" quotePrefix="0" xfId="0"/>
    <xf numFmtId="0" fontId="3" fillId="5" borderId="0" pivotButton="0" quotePrefix="0" xfId="0"/>
    <xf numFmtId="165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InstantTool.in — Personal Finance Planner (India)</t>
        </is>
      </c>
    </row>
    <row r="4">
      <c r="B4" s="2" t="inlineStr">
        <is>
          <t>A free, ready-to-use planner for Indian households.</t>
        </is>
      </c>
    </row>
    <row r="5">
      <c r="B5" s="2" t="inlineStr"/>
    </row>
    <row r="6">
      <c r="B6" s="3" t="inlineStr">
        <is>
          <t>How to use this workbook:</t>
        </is>
      </c>
    </row>
    <row r="7">
      <c r="B7" s="2" t="inlineStr">
        <is>
          <t xml:space="preserve">  1.  Fill the YELLOW cells only — formulas update automatically.</t>
        </is>
      </c>
    </row>
    <row r="8">
      <c r="B8" s="2" t="inlineStr">
        <is>
          <t xml:space="preserve">  2.  Sheets: Monthly Budget, EMI Tracker, SIP &amp; Goals, Income Tax (FY 25-26), Net Worth, Yearly Summary.</t>
        </is>
      </c>
    </row>
    <row r="9">
      <c r="B9" s="2" t="inlineStr">
        <is>
          <t xml:space="preserve">  3.  Currency is in INR (₹). Lakh = 1,00,000. Crore = 1,00,00,000.</t>
        </is>
      </c>
    </row>
    <row r="10">
      <c r="B10" s="2" t="inlineStr">
        <is>
          <t xml:space="preserve">  4.  Save a copy each month or year for tracking.</t>
        </is>
      </c>
    </row>
    <row r="11">
      <c r="B11" s="2" t="inlineStr"/>
    </row>
    <row r="12">
      <c r="B12" s="2" t="inlineStr">
        <is>
          <t>Disclaimer: For personal planning only — not investment or tax advice.</t>
        </is>
      </c>
    </row>
    <row r="13">
      <c r="B13" s="2" t="inlineStr">
        <is>
          <t>© InstantTool.in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</cols>
  <sheetData>
    <row r="1" ht="24" customHeight="1">
      <c r="A1" s="4" t="inlineStr">
        <is>
          <t>Monthly Budget Planner (₹)</t>
        </is>
      </c>
    </row>
    <row r="2">
      <c r="A2" s="5" t="inlineStr">
        <is>
          <t>Income</t>
        </is>
      </c>
      <c r="B2" s="6" t="inlineStr">
        <is>
          <t>Amount (₹)</t>
        </is>
      </c>
      <c r="C2" s="5" t="inlineStr"/>
      <c r="D2" s="5" t="inlineStr">
        <is>
          <t>Notes</t>
        </is>
      </c>
    </row>
    <row r="3">
      <c r="A3" s="7" t="inlineStr">
        <is>
          <t>Salary (in-hand)</t>
        </is>
      </c>
      <c r="B3" s="8" t="n">
        <v>0</v>
      </c>
      <c r="C3" s="7" t="inlineStr"/>
      <c r="D3" s="7" t="inlineStr"/>
    </row>
    <row r="4">
      <c r="A4" s="7" t="inlineStr">
        <is>
          <t>Business / Freelance</t>
        </is>
      </c>
      <c r="B4" s="8" t="n">
        <v>0</v>
      </c>
      <c r="C4" s="7" t="inlineStr"/>
      <c r="D4" s="7" t="inlineStr"/>
    </row>
    <row r="5">
      <c r="A5" s="7" t="inlineStr">
        <is>
          <t>Rental Income</t>
        </is>
      </c>
      <c r="B5" s="8" t="n">
        <v>0</v>
      </c>
      <c r="C5" s="7" t="inlineStr"/>
      <c r="D5" s="7" t="inlineStr"/>
    </row>
    <row r="6">
      <c r="A6" s="7" t="inlineStr">
        <is>
          <t>Other Income</t>
        </is>
      </c>
      <c r="B6" s="8" t="n">
        <v>0</v>
      </c>
      <c r="C6" s="7" t="inlineStr"/>
      <c r="D6" s="7" t="inlineStr"/>
    </row>
    <row r="7">
      <c r="A7" s="9" t="inlineStr">
        <is>
          <t>Total Income</t>
        </is>
      </c>
      <c r="B7" s="10">
        <f>SUM(B3:B6)</f>
        <v/>
      </c>
      <c r="C7" s="9" t="inlineStr"/>
      <c r="D7" s="9" t="inlineStr"/>
    </row>
    <row r="8">
      <c r="A8" s="7" t="n"/>
      <c r="B8" s="11" t="n"/>
      <c r="C8" s="7" t="n"/>
      <c r="D8" s="7" t="n"/>
    </row>
    <row r="9">
      <c r="A9" s="5" t="inlineStr">
        <is>
          <t>Expenses</t>
        </is>
      </c>
      <c r="B9" s="6" t="inlineStr">
        <is>
          <t>Amount (₹)</t>
        </is>
      </c>
      <c r="C9" s="5" t="inlineStr">
        <is>
          <t>% of Income</t>
        </is>
      </c>
      <c r="D9" s="5" t="inlineStr">
        <is>
          <t>Notes</t>
        </is>
      </c>
    </row>
    <row r="10">
      <c r="A10" s="7" t="inlineStr">
        <is>
          <t>Rent / Home EMI</t>
        </is>
      </c>
      <c r="B10" s="8" t="n">
        <v>0</v>
      </c>
      <c r="C10" s="12">
        <f>IFERROR(B10/B7,0)</f>
        <v/>
      </c>
      <c r="D10" s="7" t="inlineStr"/>
    </row>
    <row r="11">
      <c r="A11" s="7" t="inlineStr">
        <is>
          <t>Groceries</t>
        </is>
      </c>
      <c r="B11" s="8" t="n">
        <v>0</v>
      </c>
      <c r="C11" s="12">
        <f>IFERROR(B11/B7,0)</f>
        <v/>
      </c>
      <c r="D11" s="7" t="inlineStr"/>
    </row>
    <row r="12">
      <c r="A12" s="7" t="inlineStr">
        <is>
          <t>Utilities (Electricity, Water, Gas)</t>
        </is>
      </c>
      <c r="B12" s="8" t="n">
        <v>0</v>
      </c>
      <c r="C12" s="12">
        <f>IFERROR(B12/B7,0)</f>
        <v/>
      </c>
      <c r="D12" s="7" t="inlineStr"/>
    </row>
    <row r="13">
      <c r="A13" s="7" t="inlineStr">
        <is>
          <t>Internet &amp; Mobile</t>
        </is>
      </c>
      <c r="B13" s="8" t="n">
        <v>0</v>
      </c>
      <c r="C13" s="12">
        <f>IFERROR(B13/B7,0)</f>
        <v/>
      </c>
      <c r="D13" s="7" t="inlineStr"/>
    </row>
    <row r="14">
      <c r="A14" s="7" t="inlineStr">
        <is>
          <t>Transport / Fuel</t>
        </is>
      </c>
      <c r="B14" s="8" t="n">
        <v>0</v>
      </c>
      <c r="C14" s="12">
        <f>IFERROR(B14/B7,0)</f>
        <v/>
      </c>
      <c r="D14" s="7" t="inlineStr"/>
    </row>
    <row r="15">
      <c r="A15" s="7" t="inlineStr">
        <is>
          <t>School / Tuition Fees</t>
        </is>
      </c>
      <c r="B15" s="8" t="n">
        <v>0</v>
      </c>
      <c r="C15" s="12">
        <f>IFERROR(B15/B7,0)</f>
        <v/>
      </c>
      <c r="D15" s="7" t="inlineStr"/>
    </row>
    <row r="16">
      <c r="A16" s="7" t="inlineStr">
        <is>
          <t>Insurance Premiums</t>
        </is>
      </c>
      <c r="B16" s="8" t="n">
        <v>0</v>
      </c>
      <c r="C16" s="12">
        <f>IFERROR(B16/B7,0)</f>
        <v/>
      </c>
      <c r="D16" s="7" t="inlineStr"/>
    </row>
    <row r="17">
      <c r="A17" s="7" t="inlineStr">
        <is>
          <t>Dining &amp; Entertainment</t>
        </is>
      </c>
      <c r="B17" s="8" t="n">
        <v>0</v>
      </c>
      <c r="C17" s="12">
        <f>IFERROR(B17/B7,0)</f>
        <v/>
      </c>
      <c r="D17" s="7" t="inlineStr"/>
    </row>
    <row r="18">
      <c r="A18" s="7" t="inlineStr">
        <is>
          <t>Shopping</t>
        </is>
      </c>
      <c r="B18" s="8" t="n">
        <v>0</v>
      </c>
      <c r="C18" s="12">
        <f>IFERROR(B18/B7,0)</f>
        <v/>
      </c>
      <c r="D18" s="7" t="inlineStr"/>
    </row>
    <row r="19">
      <c r="A19" s="7" t="inlineStr">
        <is>
          <t>Medical</t>
        </is>
      </c>
      <c r="B19" s="8" t="n">
        <v>0</v>
      </c>
      <c r="C19" s="12">
        <f>IFERROR(B19/B7,0)</f>
        <v/>
      </c>
      <c r="D19" s="7" t="inlineStr"/>
    </row>
    <row r="20">
      <c r="A20" s="7" t="inlineStr">
        <is>
          <t>SIP / Investments</t>
        </is>
      </c>
      <c r="B20" s="8" t="n">
        <v>0</v>
      </c>
      <c r="C20" s="12">
        <f>IFERROR(B20/B7,0)</f>
        <v/>
      </c>
      <c r="D20" s="7" t="inlineStr"/>
    </row>
    <row r="21">
      <c r="A21" s="7" t="inlineStr">
        <is>
          <t>Loan EMIs (other)</t>
        </is>
      </c>
      <c r="B21" s="8" t="n">
        <v>0</v>
      </c>
      <c r="C21" s="12">
        <f>IFERROR(B21/B7,0)</f>
        <v/>
      </c>
      <c r="D21" s="7" t="inlineStr"/>
    </row>
    <row r="22">
      <c r="A22" s="7" t="inlineStr">
        <is>
          <t>Subscriptions (OTT, Apps)</t>
        </is>
      </c>
      <c r="B22" s="8" t="n">
        <v>0</v>
      </c>
      <c r="C22" s="12">
        <f>IFERROR(B22/B7,0)</f>
        <v/>
      </c>
      <c r="D22" s="7" t="inlineStr"/>
    </row>
    <row r="23">
      <c r="A23" s="7" t="inlineStr">
        <is>
          <t>Miscellaneous</t>
        </is>
      </c>
      <c r="B23" s="8" t="n">
        <v>0</v>
      </c>
      <c r="C23" s="12">
        <f>IFERROR(B23/B7,0)</f>
        <v/>
      </c>
      <c r="D23" s="7" t="inlineStr"/>
    </row>
    <row r="24">
      <c r="A24" s="9" t="inlineStr">
        <is>
          <t>Total Expenses</t>
        </is>
      </c>
      <c r="B24" s="10">
        <f>SUM(B10:B23)</f>
        <v/>
      </c>
      <c r="C24" s="13">
        <f>IFERROR(B24/B7,0)</f>
        <v/>
      </c>
      <c r="D24" s="9" t="inlineStr"/>
    </row>
    <row r="25">
      <c r="A25" s="7" t="n"/>
      <c r="B25" s="11" t="n"/>
      <c r="C25" s="7" t="n"/>
      <c r="D25" s="7" t="n"/>
    </row>
    <row r="26">
      <c r="A26" s="9" t="inlineStr">
        <is>
          <t>Net Savings</t>
        </is>
      </c>
      <c r="B26" s="10">
        <f>B7-B24</f>
        <v/>
      </c>
      <c r="C26" s="13">
        <f>IFERROR(B25/B7,0)</f>
        <v/>
      </c>
      <c r="D26" s="9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24" customHeight="1">
      <c r="A1" s="4" t="inlineStr">
        <is>
          <t>Loan EMI Tracker — Indian Loans (₹)</t>
        </is>
      </c>
    </row>
    <row r="2">
      <c r="A2" s="14" t="inlineStr">
        <is>
          <t>Loan Name</t>
        </is>
      </c>
      <c r="B2" s="14" t="inlineStr">
        <is>
          <t>Principal (₹)</t>
        </is>
      </c>
      <c r="C2" s="14" t="inlineStr">
        <is>
          <t>Annual Rate %</t>
        </is>
      </c>
      <c r="D2" s="14" t="inlineStr">
        <is>
          <t>Tenure (months)</t>
        </is>
      </c>
      <c r="E2" s="14" t="inlineStr">
        <is>
          <t>Monthly Rate</t>
        </is>
      </c>
      <c r="F2" s="14" t="inlineStr">
        <is>
          <t>EMI (₹)</t>
        </is>
      </c>
      <c r="G2" s="14" t="inlineStr">
        <is>
          <t>Total Interest (₹)</t>
        </is>
      </c>
    </row>
    <row r="3">
      <c r="A3" s="7" t="inlineStr">
        <is>
          <t>Home Loan</t>
        </is>
      </c>
      <c r="B3" s="8" t="n">
        <v>5000000</v>
      </c>
      <c r="C3" s="15" t="n">
        <v>8.5</v>
      </c>
      <c r="D3" s="15" t="n">
        <v>240</v>
      </c>
      <c r="E3" s="16">
        <f>C3/12/100</f>
        <v/>
      </c>
      <c r="F3" s="11">
        <f>IFERROR(B3*E3*(1+E3)^D3/((1+E3)^D3-1),0)</f>
        <v/>
      </c>
      <c r="G3" s="11">
        <f>IFERROR(F3*D3-B3,0)</f>
        <v/>
      </c>
    </row>
    <row r="4">
      <c r="A4" s="7" t="inlineStr">
        <is>
          <t>Car Loan</t>
        </is>
      </c>
      <c r="B4" s="8" t="n">
        <v>800000</v>
      </c>
      <c r="C4" s="15" t="n">
        <v>9.5</v>
      </c>
      <c r="D4" s="15" t="n">
        <v>60</v>
      </c>
      <c r="E4" s="16">
        <f>C4/12/100</f>
        <v/>
      </c>
      <c r="F4" s="11">
        <f>IFERROR(B4*E4*(1+E4)^D4/((1+E4)^D4-1),0)</f>
        <v/>
      </c>
      <c r="G4" s="11">
        <f>IFERROR(F4*D4-B4,0)</f>
        <v/>
      </c>
    </row>
    <row r="5">
      <c r="A5" s="7" t="inlineStr">
        <is>
          <t>Personal Loan</t>
        </is>
      </c>
      <c r="B5" s="8" t="n">
        <v>200000</v>
      </c>
      <c r="C5" s="15" t="n">
        <v>14</v>
      </c>
      <c r="D5" s="15" t="n">
        <v>36</v>
      </c>
      <c r="E5" s="16">
        <f>C5/12/100</f>
        <v/>
      </c>
      <c r="F5" s="11">
        <f>IFERROR(B5*E5*(1+E5)^D5/((1+E5)^D5-1),0)</f>
        <v/>
      </c>
      <c r="G5" s="11">
        <f>IFERROR(F5*D5-B5,0)</f>
        <v/>
      </c>
    </row>
    <row r="6">
      <c r="A6" s="7" t="inlineStr">
        <is>
          <t>Education Loan</t>
        </is>
      </c>
      <c r="B6" s="8" t="n">
        <v>0</v>
      </c>
      <c r="C6" s="15" t="n">
        <v>0</v>
      </c>
      <c r="D6" s="15" t="n">
        <v>0</v>
      </c>
      <c r="E6" s="16">
        <f>C6/12/100</f>
        <v/>
      </c>
      <c r="F6" s="11">
        <f>IFERROR(B6*E6*(1+E6)^D6/((1+E6)^D6-1),0)</f>
        <v/>
      </c>
      <c r="G6" s="11">
        <f>IFERROR(F6*D6-B6,0)</f>
        <v/>
      </c>
    </row>
    <row r="7">
      <c r="A7" s="7" t="inlineStr">
        <is>
          <t>Other Loan</t>
        </is>
      </c>
      <c r="B7" s="8" t="n">
        <v>0</v>
      </c>
      <c r="C7" s="15" t="n">
        <v>0</v>
      </c>
      <c r="D7" s="15" t="n">
        <v>0</v>
      </c>
      <c r="E7" s="16">
        <f>C7/12/100</f>
        <v/>
      </c>
      <c r="F7" s="11">
        <f>IFERROR(B7*E7*(1+E7)^D7/((1+E7)^D7-1),0)</f>
        <v/>
      </c>
      <c r="G7" s="11">
        <f>IFERROR(F7*D7-B7,0)</f>
        <v/>
      </c>
    </row>
    <row r="8">
      <c r="A8" s="17" t="inlineStr">
        <is>
          <t>Total</t>
        </is>
      </c>
      <c r="B8" s="18">
        <f>SUM(B3:B7)</f>
        <v/>
      </c>
      <c r="C8" s="17" t="inlineStr"/>
      <c r="D8" s="17" t="inlineStr"/>
      <c r="E8" s="17" t="inlineStr"/>
      <c r="F8" s="18">
        <f>SUM(F3:F7)</f>
        <v/>
      </c>
      <c r="G8" s="18">
        <f>SUM(G3:G7)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4" t="inlineStr">
        <is>
          <t>SIP &amp; Goal Planner (₹)</t>
        </is>
      </c>
    </row>
    <row r="2">
      <c r="A2" s="14" t="inlineStr">
        <is>
          <t>Goal Name</t>
        </is>
      </c>
      <c r="B2" s="14" t="inlineStr">
        <is>
          <t>Monthly SIP (₹)</t>
        </is>
      </c>
      <c r="C2" s="14" t="inlineStr">
        <is>
          <t>Expected Return %</t>
        </is>
      </c>
      <c r="D2" s="14" t="inlineStr">
        <is>
          <t>Years</t>
        </is>
      </c>
      <c r="E2" s="14" t="inlineStr">
        <is>
          <t>Future Value (₹)</t>
        </is>
      </c>
      <c r="F2" s="14" t="inlineStr">
        <is>
          <t>Total Invested (₹)</t>
        </is>
      </c>
    </row>
    <row r="3">
      <c r="A3" s="7" t="inlineStr">
        <is>
          <t>Retirement</t>
        </is>
      </c>
      <c r="B3" s="8" t="n">
        <v>10000</v>
      </c>
      <c r="C3" s="15" t="n">
        <v>12</v>
      </c>
      <c r="D3" s="15" t="n">
        <v>25</v>
      </c>
      <c r="E3" s="11">
        <f>IFERROR(B3*(((1+C3/100/12)^(D3*12)-1)/(C3/100/12))*(1+C3/100/12),0)</f>
        <v/>
      </c>
      <c r="F3" s="11">
        <f>B3*D3*12</f>
        <v/>
      </c>
    </row>
    <row r="4">
      <c r="A4" s="7" t="inlineStr">
        <is>
          <t>Child Education</t>
        </is>
      </c>
      <c r="B4" s="8" t="n">
        <v>8000</v>
      </c>
      <c r="C4" s="15" t="n">
        <v>11</v>
      </c>
      <c r="D4" s="15" t="n">
        <v>18</v>
      </c>
      <c r="E4" s="11">
        <f>IFERROR(B4*(((1+C4/100/12)^(D4*12)-1)/(C4/100/12))*(1+C4/100/12),0)</f>
        <v/>
      </c>
      <c r="F4" s="11">
        <f>B4*D4*12</f>
        <v/>
      </c>
    </row>
    <row r="5">
      <c r="A5" s="7" t="inlineStr">
        <is>
          <t>Home Down Payment</t>
        </is>
      </c>
      <c r="B5" s="8" t="n">
        <v>15000</v>
      </c>
      <c r="C5" s="15" t="n">
        <v>10</v>
      </c>
      <c r="D5" s="15" t="n">
        <v>5</v>
      </c>
      <c r="E5" s="11">
        <f>IFERROR(B5*(((1+C5/100/12)^(D5*12)-1)/(C5/100/12))*(1+C5/100/12),0)</f>
        <v/>
      </c>
      <c r="F5" s="11">
        <f>B5*D5*12</f>
        <v/>
      </c>
    </row>
    <row r="6">
      <c r="A6" s="7" t="inlineStr">
        <is>
          <t>Vacation</t>
        </is>
      </c>
      <c r="B6" s="8" t="n">
        <v>5000</v>
      </c>
      <c r="C6" s="15" t="n">
        <v>8</v>
      </c>
      <c r="D6" s="15" t="n">
        <v>3</v>
      </c>
      <c r="E6" s="11">
        <f>IFERROR(B6*(((1+C6/100/12)^(D6*12)-1)/(C6/100/12))*(1+C6/100/12),0)</f>
        <v/>
      </c>
      <c r="F6" s="11">
        <f>B6*D6*12</f>
        <v/>
      </c>
    </row>
    <row r="7">
      <c r="A7" s="7" t="inlineStr">
        <is>
          <t>Emergency Fund</t>
        </is>
      </c>
      <c r="B7" s="8" t="n">
        <v>4000</v>
      </c>
      <c r="C7" s="15" t="n">
        <v>7</v>
      </c>
      <c r="D7" s="15" t="n">
        <v>2</v>
      </c>
      <c r="E7" s="11">
        <f>IFERROR(B7*(((1+C7/100/12)^(D7*12)-1)/(C7/100/12))*(1+C7/100/12),0)</f>
        <v/>
      </c>
      <c r="F7" s="11">
        <f>B7*D7*12</f>
        <v/>
      </c>
    </row>
    <row r="8">
      <c r="A8" s="17" t="inlineStr">
        <is>
          <t>Total</t>
        </is>
      </c>
      <c r="B8" s="18">
        <f>SUM(B3:B7)</f>
        <v/>
      </c>
      <c r="C8" s="17" t="inlineStr"/>
      <c r="D8" s="17" t="inlineStr"/>
      <c r="E8" s="18">
        <f>SUM(E3:E7)</f>
        <v/>
      </c>
      <c r="F8" s="18">
        <f>SUM(F3:F7)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28" customWidth="1" min="4" max="4"/>
    <col width="18" customWidth="1" min="5" max="5"/>
  </cols>
  <sheetData>
    <row r="1" ht="24" customHeight="1">
      <c r="A1" s="4" t="inlineStr">
        <is>
          <t>Income Tax Estimator — New Regime FY 2025-26 (₹)</t>
        </is>
      </c>
    </row>
    <row r="2">
      <c r="A2" t="inlineStr">
        <is>
          <t>Gross Annual Income</t>
        </is>
      </c>
      <c r="B2" t="n">
        <v>1200000</v>
      </c>
      <c r="C2" t="inlineStr"/>
      <c r="D2" t="inlineStr">
        <is>
          <t>Slab</t>
        </is>
      </c>
      <c r="E2" t="inlineStr">
        <is>
          <t>Tax (₹)</t>
        </is>
      </c>
    </row>
    <row r="3">
      <c r="A3" s="7" t="n"/>
      <c r="B3" s="8" t="n"/>
      <c r="C3" s="7" t="n"/>
      <c r="D3" s="7" t="n"/>
      <c r="E3" s="11" t="n"/>
    </row>
    <row r="4">
      <c r="A4" s="7" t="inlineStr">
        <is>
          <t>Standard Deduction</t>
        </is>
      </c>
      <c r="B4" s="11" t="n">
        <v>75000</v>
      </c>
      <c r="C4" s="7" t="inlineStr"/>
      <c r="D4" s="7" t="inlineStr">
        <is>
          <t>0 – 4,00,000 @ 0%</t>
        </is>
      </c>
      <c r="E4" s="11">
        <f>MAX(0,MIN(B6,400000)-0)*0</f>
        <v/>
      </c>
    </row>
    <row r="5">
      <c r="A5" s="7" t="inlineStr">
        <is>
          <t>Other Deductions (NPS 80CCD-1B etc.)</t>
        </is>
      </c>
      <c r="B5" s="8" t="n">
        <v>0</v>
      </c>
      <c r="C5" s="7" t="inlineStr"/>
      <c r="D5" s="7" t="inlineStr">
        <is>
          <t>4,00,001 – 8,00,000 @ 5%</t>
        </is>
      </c>
      <c r="E5" s="11">
        <f>MAX(0,MIN(B6,800000)-400000)*0.05</f>
        <v/>
      </c>
    </row>
    <row r="6">
      <c r="A6" s="7" t="inlineStr">
        <is>
          <t>Taxable Income</t>
        </is>
      </c>
      <c r="B6" s="11">
        <f>MAX(0,B3-B4-B5)</f>
        <v/>
      </c>
      <c r="C6" s="7" t="inlineStr"/>
      <c r="D6" s="7" t="inlineStr">
        <is>
          <t>8,00,001 – 12,00,000 @ 10%</t>
        </is>
      </c>
      <c r="E6" s="11">
        <f>MAX(0,MIN(B6,1200000)-800000)*0.10</f>
        <v/>
      </c>
    </row>
    <row r="7">
      <c r="A7" s="7" t="inlineStr">
        <is>
          <t>Tax before rebate</t>
        </is>
      </c>
      <c r="B7" s="11">
        <f>SUM(E4:E11)</f>
        <v/>
      </c>
      <c r="C7" s="7" t="inlineStr"/>
      <c r="D7" s="7" t="inlineStr">
        <is>
          <t>12,00,001 – 16,00,000 @ 15%</t>
        </is>
      </c>
      <c r="E7" s="11">
        <f>MAX(0,MIN(B6,1600000)-1200000)*0.15</f>
        <v/>
      </c>
    </row>
    <row r="8">
      <c r="A8" s="7" t="inlineStr">
        <is>
          <t>Rebate u/s 87A (income ≤ 12L)</t>
        </is>
      </c>
      <c r="B8" s="11">
        <f>IF(B6&lt;=1200000,B7,0)</f>
        <v/>
      </c>
      <c r="C8" s="7" t="inlineStr"/>
      <c r="D8" s="7" t="inlineStr">
        <is>
          <t>16,00,001 – 20,00,000 @ 20%</t>
        </is>
      </c>
      <c r="E8" s="11">
        <f>MAX(0,MIN(B6,2000000)-1600000)*0.20</f>
        <v/>
      </c>
    </row>
    <row r="9">
      <c r="A9" s="7" t="inlineStr">
        <is>
          <t>Tax after rebate</t>
        </is>
      </c>
      <c r="B9" s="11">
        <f>MAX(0,B7-B8)</f>
        <v/>
      </c>
      <c r="C9" s="7" t="inlineStr"/>
      <c r="D9" s="7" t="inlineStr">
        <is>
          <t>20,00,001 – 24,00,000 @ 25%</t>
        </is>
      </c>
      <c r="E9" s="11">
        <f>MAX(0,MIN(B6,2400000)-2000000)*0.25</f>
        <v/>
      </c>
    </row>
    <row r="10">
      <c r="A10" s="7" t="inlineStr">
        <is>
          <t>Health &amp; Edu Cess @ 4%</t>
        </is>
      </c>
      <c r="B10" s="11">
        <f>B9*0.04</f>
        <v/>
      </c>
      <c r="C10" s="7" t="inlineStr"/>
      <c r="D10" s="7" t="inlineStr">
        <is>
          <t>Above 24,00,000 @ 30%</t>
        </is>
      </c>
      <c r="E10" s="11">
        <f>MAX(0,B6-2400000)*0.30</f>
        <v/>
      </c>
    </row>
    <row r="11">
      <c r="A11" s="9" t="inlineStr">
        <is>
          <t>Estimated Total Tax</t>
        </is>
      </c>
      <c r="B11" s="10">
        <f>B9+B10</f>
        <v/>
      </c>
      <c r="C11" s="7" t="inlineStr"/>
      <c r="D11" s="7" t="inlineStr"/>
      <c r="E11" s="11" t="inlineStr"/>
    </row>
    <row r="13">
      <c r="A13" s="19" t="inlineStr">
        <is>
          <t>Note: Simplified — for exact tax consult a CA. Rebate u/s 87A applies if taxable income ≤ ₹12,00,000.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6" customWidth="1" min="3" max="3"/>
    <col width="32" customWidth="1" min="4" max="4"/>
    <col width="20" customWidth="1" min="5" max="5"/>
  </cols>
  <sheetData>
    <row r="1" ht="24" customHeight="1">
      <c r="A1" s="4" t="inlineStr">
        <is>
          <t>Net Worth Tracker (₹)</t>
        </is>
      </c>
    </row>
    <row r="2">
      <c r="A2" s="14" t="inlineStr">
        <is>
          <t>Assets</t>
        </is>
      </c>
      <c r="B2" s="14" t="inlineStr">
        <is>
          <t>Amount (₹)</t>
        </is>
      </c>
      <c r="C2" s="14" t="inlineStr"/>
      <c r="D2" s="14" t="inlineStr">
        <is>
          <t>Liabilities</t>
        </is>
      </c>
      <c r="E2" s="14" t="inlineStr">
        <is>
          <t>Amount (₹)</t>
        </is>
      </c>
    </row>
    <row r="3">
      <c r="A3" s="7" t="inlineStr">
        <is>
          <t>Savings Bank Balance</t>
        </is>
      </c>
      <c r="B3" s="8" t="n">
        <v>0</v>
      </c>
      <c r="C3" s="7" t="inlineStr"/>
      <c r="D3" s="7" t="inlineStr">
        <is>
          <t>Home Loan Outstanding</t>
        </is>
      </c>
      <c r="E3" s="8" t="n">
        <v>0</v>
      </c>
    </row>
    <row r="4">
      <c r="A4" s="7" t="inlineStr">
        <is>
          <t>Fixed Deposits</t>
        </is>
      </c>
      <c r="B4" s="8" t="n">
        <v>0</v>
      </c>
      <c r="C4" s="7" t="inlineStr"/>
      <c r="D4" s="7" t="inlineStr">
        <is>
          <t>Car Loan Outstanding</t>
        </is>
      </c>
      <c r="E4" s="8" t="n">
        <v>0</v>
      </c>
    </row>
    <row r="5">
      <c r="A5" s="7" t="inlineStr">
        <is>
          <t>PPF / EPF</t>
        </is>
      </c>
      <c r="B5" s="8" t="n">
        <v>0</v>
      </c>
      <c r="C5" s="7" t="inlineStr"/>
      <c r="D5" s="7" t="inlineStr">
        <is>
          <t>Personal Loan</t>
        </is>
      </c>
      <c r="E5" s="8" t="n">
        <v>0</v>
      </c>
    </row>
    <row r="6">
      <c r="A6" s="7" t="inlineStr">
        <is>
          <t>Mutual Funds</t>
        </is>
      </c>
      <c r="B6" s="8" t="n">
        <v>0</v>
      </c>
      <c r="C6" s="7" t="inlineStr"/>
      <c r="D6" s="7" t="inlineStr">
        <is>
          <t>Credit Card Dues</t>
        </is>
      </c>
      <c r="E6" s="8" t="n">
        <v>0</v>
      </c>
    </row>
    <row r="7">
      <c r="A7" s="7" t="inlineStr">
        <is>
          <t>Stocks</t>
        </is>
      </c>
      <c r="B7" s="8" t="n">
        <v>0</v>
      </c>
      <c r="C7" s="7" t="inlineStr"/>
      <c r="D7" s="7" t="inlineStr">
        <is>
          <t>Other Loans</t>
        </is>
      </c>
      <c r="E7" s="8" t="n">
        <v>0</v>
      </c>
    </row>
    <row r="8">
      <c r="A8" s="7" t="inlineStr">
        <is>
          <t>Gold</t>
        </is>
      </c>
      <c r="B8" s="8" t="n">
        <v>0</v>
      </c>
      <c r="C8" s="7" t="inlineStr"/>
      <c r="D8" s="7" t="inlineStr"/>
      <c r="E8" s="8" t="n"/>
    </row>
    <row r="9">
      <c r="A9" s="7" t="inlineStr">
        <is>
          <t>Real Estate</t>
        </is>
      </c>
      <c r="B9" s="8" t="n">
        <v>0</v>
      </c>
      <c r="C9" s="7" t="inlineStr"/>
      <c r="D9" s="7" t="inlineStr"/>
      <c r="E9" s="8" t="n"/>
    </row>
    <row r="10">
      <c r="A10" s="7" t="inlineStr">
        <is>
          <t>Other Investments</t>
        </is>
      </c>
      <c r="B10" s="8" t="n">
        <v>0</v>
      </c>
      <c r="C10" s="7" t="inlineStr"/>
      <c r="D10" s="7" t="inlineStr"/>
      <c r="E10" s="8" t="n"/>
    </row>
    <row r="11">
      <c r="A11" s="9" t="inlineStr">
        <is>
          <t>Total Assets</t>
        </is>
      </c>
      <c r="B11" s="10">
        <f>SUM(B3:B10)</f>
        <v/>
      </c>
      <c r="C11" s="9" t="inlineStr"/>
      <c r="D11" s="9" t="inlineStr">
        <is>
          <t>Total Liabilities</t>
        </is>
      </c>
      <c r="E11" s="10">
        <f>SUM(E3:E10)</f>
        <v/>
      </c>
    </row>
    <row r="12">
      <c r="A12" s="9" t="inlineStr"/>
      <c r="B12" s="10" t="inlineStr"/>
      <c r="C12" s="9" t="inlineStr"/>
      <c r="D12" s="9" t="inlineStr">
        <is>
          <t>Net Worth</t>
        </is>
      </c>
      <c r="E12" s="10">
        <f>B11-E11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4" customHeight="1">
      <c r="A1" s="4" t="inlineStr">
        <is>
          <t>Year-at-a-Glance — Income vs Expense vs Savings (₹)</t>
        </is>
      </c>
    </row>
    <row r="2">
      <c r="A2" s="14" t="inlineStr"/>
      <c r="B2" s="14" t="inlineStr">
        <is>
          <t>Jan</t>
        </is>
      </c>
      <c r="C2" s="14" t="inlineStr">
        <is>
          <t>Feb</t>
        </is>
      </c>
      <c r="D2" s="14" t="inlineStr">
        <is>
          <t>Mar</t>
        </is>
      </c>
      <c r="E2" s="14" t="inlineStr">
        <is>
          <t>Apr</t>
        </is>
      </c>
      <c r="F2" s="14" t="inlineStr">
        <is>
          <t>May</t>
        </is>
      </c>
      <c r="G2" s="14" t="inlineStr">
        <is>
          <t>Jun</t>
        </is>
      </c>
      <c r="H2" s="14" t="inlineStr">
        <is>
          <t>Jul</t>
        </is>
      </c>
      <c r="I2" s="14" t="inlineStr">
        <is>
          <t>Aug</t>
        </is>
      </c>
      <c r="J2" s="14" t="inlineStr">
        <is>
          <t>Sep</t>
        </is>
      </c>
      <c r="K2" s="14" t="inlineStr">
        <is>
          <t>Oct</t>
        </is>
      </c>
      <c r="L2" s="14" t="inlineStr">
        <is>
          <t>Nov</t>
        </is>
      </c>
      <c r="M2" s="14" t="inlineStr">
        <is>
          <t>Dec</t>
        </is>
      </c>
      <c r="N2" s="14" t="inlineStr">
        <is>
          <t>Total</t>
        </is>
      </c>
    </row>
    <row r="3">
      <c r="A3" s="7" t="inlineStr">
        <is>
          <t>Income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11">
        <f>SUM(B3:M3)</f>
        <v/>
      </c>
    </row>
    <row r="4">
      <c r="A4" s="7" t="inlineStr">
        <is>
          <t>Expenses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11">
        <f>SUM(B4:M4)</f>
        <v/>
      </c>
    </row>
    <row r="5">
      <c r="A5" s="9" t="inlineStr">
        <is>
          <t>Savings</t>
        </is>
      </c>
      <c r="B5" s="10">
        <f>B3-B4</f>
        <v/>
      </c>
      <c r="C5" s="10">
        <f>C3-C4</f>
        <v/>
      </c>
      <c r="D5" s="10">
        <f>D3-D4</f>
        <v/>
      </c>
      <c r="E5" s="10">
        <f>E3-E4</f>
        <v/>
      </c>
      <c r="F5" s="10">
        <f>F3-F4</f>
        <v/>
      </c>
      <c r="G5" s="10">
        <f>G3-G4</f>
        <v/>
      </c>
      <c r="H5" s="10">
        <f>H3-H4</f>
        <v/>
      </c>
      <c r="I5" s="10">
        <f>I3-I4</f>
        <v/>
      </c>
      <c r="J5" s="10">
        <f>J3-J4</f>
        <v/>
      </c>
      <c r="K5" s="10">
        <f>K3-K4</f>
        <v/>
      </c>
      <c r="L5" s="10">
        <f>L3-L4</f>
        <v/>
      </c>
      <c r="M5" s="10">
        <f>M3-M4</f>
        <v/>
      </c>
      <c r="N5" s="10">
        <f>SUM(B5:M5)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2026-05-01T10:21:18Z</dcterms:created>
  <dcterms:modified xmlns:dcterms="http://purl.org/dc/terms/" xmlns:xsi="http://www.w3.org/2001/XMLSchema-instance" xsi:type="dcterms:W3CDTF">2026-05-01T10:21:18Z</dcterms:modified>
</cp:coreProperties>
</file>